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 Dashboard\"/>
    </mc:Choice>
  </mc:AlternateContent>
  <xr:revisionPtr revIDLastSave="0" documentId="8_{F534C260-2AA0-4BB4-9F18-B9F0927BB20C}" xr6:coauthVersionLast="36" xr6:coauthVersionMax="36" xr10:uidLastSave="{00000000-0000-0000-0000-000000000000}"/>
  <bookViews>
    <workbookView xWindow="0" yWindow="0" windowWidth="20490" windowHeight="7125" xr2:uid="{558272ED-9734-4718-8253-BCB8D256D780}"/>
  </bookViews>
  <sheets>
    <sheet name="Budget Dashboard" sheetId="1" r:id="rId1"/>
  </sheets>
  <externalReferences>
    <externalReference r:id="rId2"/>
  </externalReferences>
  <definedNames>
    <definedName name="BUDGET_Title">'[1]Monthly Budget Summary'!$B$2</definedName>
    <definedName name="COMPANY_NAME">'[1]Monthly Budget Summary'!$B$1</definedName>
    <definedName name="Plyear">#REF!</definedName>
    <definedName name="valpro">#REF!</definedName>
    <definedName name="valregion">#REF!</definedName>
    <definedName name="valyear">#REF!</definedName>
    <definedName name="vblhelpstatus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1" l="1"/>
  <c r="F12" i="1"/>
  <c r="F13" i="1"/>
  <c r="F14" i="1"/>
  <c r="F16" i="1" s="1"/>
  <c r="E48" i="1" s="1"/>
  <c r="F15" i="1"/>
  <c r="F20" i="1"/>
  <c r="F21" i="1"/>
  <c r="F22" i="1"/>
  <c r="F23" i="1"/>
  <c r="F24" i="1"/>
  <c r="F25" i="1"/>
  <c r="E49" i="1" s="1"/>
  <c r="F49" i="1" s="1"/>
  <c r="F29" i="1"/>
  <c r="F30" i="1"/>
  <c r="F31" i="1"/>
  <c r="F32" i="1"/>
  <c r="F34" i="1" s="1"/>
  <c r="E50" i="1" s="1"/>
  <c r="F50" i="1" s="1"/>
  <c r="F33" i="1"/>
  <c r="F38" i="1"/>
  <c r="F39" i="1"/>
  <c r="F40" i="1"/>
  <c r="F41" i="1"/>
  <c r="F42" i="1"/>
  <c r="F43" i="1"/>
  <c r="E51" i="1" s="1"/>
  <c r="F51" i="1" s="1"/>
  <c r="D52" i="1"/>
  <c r="E52" i="1" l="1"/>
  <c r="F48" i="1"/>
  <c r="F52" i="1" s="1"/>
</calcChain>
</file>

<file path=xl/sharedStrings.xml><?xml version="1.0" encoding="utf-8"?>
<sst xmlns="http://schemas.openxmlformats.org/spreadsheetml/2006/main" count="80" uniqueCount="71">
  <si>
    <t>Totals</t>
  </si>
  <si>
    <t>Overhead Costs</t>
  </si>
  <si>
    <t>Fixed Costs</t>
  </si>
  <si>
    <t>Labor Costs</t>
  </si>
  <si>
    <t>Materials Costs</t>
  </si>
  <si>
    <t>Balance</t>
  </si>
  <si>
    <t>Actual Costs</t>
  </si>
  <si>
    <t>Planned Costs</t>
  </si>
  <si>
    <t>Cost Category</t>
  </si>
  <si>
    <t>Planned vs. Actual Costs</t>
  </si>
  <si>
    <t>Total Overhead</t>
  </si>
  <si>
    <t>Financial</t>
  </si>
  <si>
    <t>Sales</t>
  </si>
  <si>
    <t>Administrative</t>
  </si>
  <si>
    <t>Production</t>
  </si>
  <si>
    <t>Allocated Overhead</t>
  </si>
  <si>
    <t>Rate</t>
  </si>
  <si>
    <t>Value</t>
  </si>
  <si>
    <t>Allocation Base</t>
  </si>
  <si>
    <t>Overhead Type</t>
  </si>
  <si>
    <t>Actual Overhead Allocation</t>
  </si>
  <si>
    <t>Total Actual Fixed Costs</t>
  </si>
  <si>
    <t>8 ads</t>
  </si>
  <si>
    <t>Marketing</t>
  </si>
  <si>
    <t>Insurance</t>
  </si>
  <si>
    <t>1 unit</t>
  </si>
  <si>
    <t>Storage Space</t>
  </si>
  <si>
    <t>4 pieces</t>
  </si>
  <si>
    <t>Equipment</t>
  </si>
  <si>
    <t>7 days</t>
  </si>
  <si>
    <t>Travel</t>
  </si>
  <si>
    <t>Total</t>
  </si>
  <si>
    <t>Maintenance Cost</t>
  </si>
  <si>
    <t>Purchase/Lease Cost</t>
  </si>
  <si>
    <t>Quantity</t>
  </si>
  <si>
    <t>Description</t>
  </si>
  <si>
    <t>Actual Fixed Costs</t>
  </si>
  <si>
    <t>Total Actual Labor Costs</t>
  </si>
  <si>
    <t>Janet Jeffs</t>
  </si>
  <si>
    <t>Operations</t>
  </si>
  <si>
    <t>Donald Valley</t>
  </si>
  <si>
    <t>Supervisor</t>
  </si>
  <si>
    <t>Tony Weller</t>
  </si>
  <si>
    <t>Advisor</t>
  </si>
  <si>
    <t>Romy Bailey</t>
  </si>
  <si>
    <t>Project Manager</t>
  </si>
  <si>
    <t>Lori Garcia</t>
  </si>
  <si>
    <t>Hours</t>
  </si>
  <si>
    <t>Role</t>
  </si>
  <si>
    <t>Name</t>
  </si>
  <si>
    <t>Actual Labor Costs</t>
  </si>
  <si>
    <t>Total Actual Materials Costs</t>
  </si>
  <si>
    <t>Each</t>
  </si>
  <si>
    <t>Material E</t>
  </si>
  <si>
    <t>Pack</t>
  </si>
  <si>
    <t>Material D</t>
  </si>
  <si>
    <t>Pound</t>
  </si>
  <si>
    <t>Material C</t>
  </si>
  <si>
    <t>Material B</t>
  </si>
  <si>
    <t>Material A</t>
  </si>
  <si>
    <t>Unit Cost</t>
  </si>
  <si>
    <t>Unit</t>
  </si>
  <si>
    <t>Actual Materials Costs</t>
  </si>
  <si>
    <t>Created By</t>
  </si>
  <si>
    <t>MM/DD/YY</t>
  </si>
  <si>
    <t>Date</t>
  </si>
  <si>
    <t>123-ABC</t>
  </si>
  <si>
    <t>Project Number</t>
  </si>
  <si>
    <t>Project Alpha</t>
  </si>
  <si>
    <t>Project Name</t>
  </si>
  <si>
    <t>Budget Dashboard Template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</si>
</sst>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m/dd/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sz val="2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 tint="0.34998626667073579"/>
      <name val="Century Gothic"/>
      <family val="2"/>
    </font>
    <font>
      <b/>
      <sz val="22"/>
      <color theme="1" tint="0.34998626667073579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1F2BC"/>
        <bgColor indexed="64"/>
      </patternFill>
    </fill>
    <fill>
      <patternFill patternType="solid">
        <fgColor rgb="FFF7F8D8"/>
        <bgColor indexed="64"/>
      </patternFill>
    </fill>
    <fill>
      <patternFill patternType="solid">
        <fgColor rgb="FFE7E98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64" fontId="1" fillId="2" borderId="1" xfId="0" applyNumberFormat="1" applyFont="1" applyFill="1" applyBorder="1" applyAlignment="1">
      <alignment vertical="center"/>
    </xf>
    <xf numFmtId="0" fontId="1" fillId="0" borderId="2" xfId="0" applyFont="1" applyBorder="1" applyAlignment="1">
      <alignment horizontal="right" vertical="center" indent="1"/>
    </xf>
    <xf numFmtId="0" fontId="0" fillId="0" borderId="3" xfId="0" applyBorder="1"/>
    <xf numFmtId="164" fontId="2" fillId="3" borderId="1" xfId="0" applyNumberFormat="1" applyFont="1" applyFill="1" applyBorder="1" applyAlignment="1">
      <alignment horizontal="left" vertical="center" wrapText="1" indent="1"/>
    </xf>
    <xf numFmtId="164" fontId="2" fillId="4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3" fillId="0" borderId="0" xfId="0" applyFont="1"/>
    <xf numFmtId="16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4" fontId="2" fillId="3" borderId="1" xfId="0" applyNumberFormat="1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/>
    </xf>
    <xf numFmtId="0" fontId="2" fillId="5" borderId="1" xfId="0" applyFont="1" applyFill="1" applyBorder="1" applyAlignment="1">
      <alignment horizontal="left" vertical="center" indent="1"/>
    </xf>
    <xf numFmtId="1" fontId="2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/>
    <xf numFmtId="0" fontId="5" fillId="2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indent="1"/>
    </xf>
    <xf numFmtId="165" fontId="4" fillId="0" borderId="1" xfId="0" applyNumberFormat="1" applyFont="1" applyBorder="1" applyAlignment="1">
      <alignment horizontal="left" vertical="center" indent="1"/>
    </xf>
    <xf numFmtId="0" fontId="1" fillId="0" borderId="1" xfId="0" applyFont="1" applyBorder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'Budget Dashboard'!$B$48:$B$51</c:f>
              <c:strCache>
                <c:ptCount val="4"/>
                <c:pt idx="0">
                  <c:v>Materials Costs</c:v>
                </c:pt>
                <c:pt idx="1">
                  <c:v>Labor Costs</c:v>
                </c:pt>
                <c:pt idx="2">
                  <c:v>Fixed Costs</c:v>
                </c:pt>
                <c:pt idx="3">
                  <c:v>Overhead Costs</c:v>
                </c:pt>
              </c:strCache>
            </c:strRef>
          </c:cat>
          <c:val>
            <c:numRef>
              <c:f>'Budget Dashboard'!$C$48:$C$51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756C-4A1E-AFAC-5558CCF44BF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'Budget Dashboard'!$B$48:$B$51</c:f>
              <c:strCache>
                <c:ptCount val="4"/>
                <c:pt idx="0">
                  <c:v>Materials Costs</c:v>
                </c:pt>
                <c:pt idx="1">
                  <c:v>Labor Costs</c:v>
                </c:pt>
                <c:pt idx="2">
                  <c:v>Fixed Costs</c:v>
                </c:pt>
                <c:pt idx="3">
                  <c:v>Overhead Costs</c:v>
                </c:pt>
              </c:strCache>
            </c:strRef>
          </c:cat>
          <c:val>
            <c:numRef>
              <c:f>'Budget Dashboard'!$D$48:$D$51</c:f>
              <c:numCache>
                <c:formatCode>_("$"* #,##0.00_);_("$"* \(#,##0.00\);_("$"* "-"??_);_(@_)</c:formatCode>
                <c:ptCount val="4"/>
                <c:pt idx="0">
                  <c:v>6000</c:v>
                </c:pt>
                <c:pt idx="1">
                  <c:v>75000</c:v>
                </c:pt>
                <c:pt idx="2">
                  <c:v>62000</c:v>
                </c:pt>
                <c:pt idx="3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6C-4A1E-AFAC-5558CCF44BFB}"/>
            </c:ext>
          </c:extLst>
        </c:ser>
        <c:ser>
          <c:idx val="2"/>
          <c:order val="2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'Budget Dashboard'!$B$48:$B$51</c:f>
              <c:strCache>
                <c:ptCount val="4"/>
                <c:pt idx="0">
                  <c:v>Materials Costs</c:v>
                </c:pt>
                <c:pt idx="1">
                  <c:v>Labor Costs</c:v>
                </c:pt>
                <c:pt idx="2">
                  <c:v>Fixed Costs</c:v>
                </c:pt>
                <c:pt idx="3">
                  <c:v>Overhead Costs</c:v>
                </c:pt>
              </c:strCache>
            </c:strRef>
          </c:cat>
          <c:val>
            <c:numRef>
              <c:f>'Budget Dashboard'!$E$48:$E$51</c:f>
              <c:numCache>
                <c:formatCode>_("$"* #,##0.00_);_("$"* \(#,##0.00\);_("$"* "-"??_);_(@_)</c:formatCode>
                <c:ptCount val="4"/>
                <c:pt idx="0">
                  <c:v>3176</c:v>
                </c:pt>
                <c:pt idx="1">
                  <c:v>5285</c:v>
                </c:pt>
                <c:pt idx="2">
                  <c:v>7455</c:v>
                </c:pt>
                <c:pt idx="3">
                  <c:v>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6C-4A1E-AFAC-5558CCF44BFB}"/>
            </c:ext>
          </c:extLst>
        </c:ser>
        <c:ser>
          <c:idx val="3"/>
          <c:order val="3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'Budget Dashboard'!$B$48:$B$51</c:f>
              <c:strCache>
                <c:ptCount val="4"/>
                <c:pt idx="0">
                  <c:v>Materials Costs</c:v>
                </c:pt>
                <c:pt idx="1">
                  <c:v>Labor Costs</c:v>
                </c:pt>
                <c:pt idx="2">
                  <c:v>Fixed Costs</c:v>
                </c:pt>
                <c:pt idx="3">
                  <c:v>Overhead Costs</c:v>
                </c:pt>
              </c:strCache>
            </c:strRef>
          </c:cat>
          <c:val>
            <c:numRef>
              <c:f>'Budget Dashboard'!$F$48:$F$51</c:f>
              <c:numCache>
                <c:formatCode>_("$"* #,##0.00_);_("$"* \(#,##0.00\);_("$"* "-"??_);_(@_)</c:formatCode>
                <c:ptCount val="4"/>
                <c:pt idx="0">
                  <c:v>2824</c:v>
                </c:pt>
                <c:pt idx="1">
                  <c:v>69715</c:v>
                </c:pt>
                <c:pt idx="2">
                  <c:v>54545</c:v>
                </c:pt>
                <c:pt idx="3">
                  <c:v>-1600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6C-4A1E-AFAC-5558CCF44BFB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'Budget Dashboard'!$B$48:$B$51</c:f>
              <c:strCache>
                <c:ptCount val="4"/>
                <c:pt idx="0">
                  <c:v>Materials Costs</c:v>
                </c:pt>
                <c:pt idx="1">
                  <c:v>Labor Costs</c:v>
                </c:pt>
                <c:pt idx="2">
                  <c:v>Fixed Costs</c:v>
                </c:pt>
                <c:pt idx="3">
                  <c:v>Overhead Costs</c:v>
                </c:pt>
              </c:strCache>
            </c:strRef>
          </c:cat>
          <c:val>
            <c:numRef>
              <c:f>'Budget Dashboard'!$C$47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4-756C-4A1E-AFAC-5558CCF44BFB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'Budget Dashboard'!$B$48:$B$51</c:f>
              <c:strCache>
                <c:ptCount val="4"/>
                <c:pt idx="0">
                  <c:v>Materials Costs</c:v>
                </c:pt>
                <c:pt idx="1">
                  <c:v>Labor Costs</c:v>
                </c:pt>
                <c:pt idx="2">
                  <c:v>Fixed Costs</c:v>
                </c:pt>
                <c:pt idx="3">
                  <c:v>Overhead Costs</c:v>
                </c:pt>
              </c:strCache>
            </c:strRef>
          </c:cat>
          <c:val>
            <c:numRef>
              <c:f>'Budget Dashboard'!$D$47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6C-4A1E-AFAC-5558CCF44BFB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Dashboard'!$B$48:$B$51</c:f>
              <c:strCache>
                <c:ptCount val="4"/>
                <c:pt idx="0">
                  <c:v>Materials Costs</c:v>
                </c:pt>
                <c:pt idx="1">
                  <c:v>Labor Costs</c:v>
                </c:pt>
                <c:pt idx="2">
                  <c:v>Fixed Costs</c:v>
                </c:pt>
                <c:pt idx="3">
                  <c:v>Overhead Costs</c:v>
                </c:pt>
              </c:strCache>
            </c:strRef>
          </c:cat>
          <c:val>
            <c:numRef>
              <c:f>'Budget Dashboard'!$E$47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6C-4A1E-AFAC-5558CCF44BFB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Dashboard'!$B$48:$B$51</c:f>
              <c:strCache>
                <c:ptCount val="4"/>
                <c:pt idx="0">
                  <c:v>Materials Costs</c:v>
                </c:pt>
                <c:pt idx="1">
                  <c:v>Labor Costs</c:v>
                </c:pt>
                <c:pt idx="2">
                  <c:v>Fixed Costs</c:v>
                </c:pt>
                <c:pt idx="3">
                  <c:v>Overhead Costs</c:v>
                </c:pt>
              </c:strCache>
            </c:strRef>
          </c:cat>
          <c:val>
            <c:numRef>
              <c:f>'Budget Dashboard'!$F$47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56C-4A1E-AFAC-5558CCF44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0515072"/>
        <c:axId val="2081541040"/>
      </c:barChart>
      <c:catAx>
        <c:axId val="189051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541040"/>
        <c:crosses val="autoZero"/>
        <c:auto val="1"/>
        <c:lblAlgn val="ctr"/>
        <c:lblOffset val="100"/>
        <c:noMultiLvlLbl val="0"/>
      </c:catAx>
      <c:valAx>
        <c:axId val="208154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51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7F8D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'Budget Dashboard'!$B$48</c:f>
              <c:strCache>
                <c:ptCount val="1"/>
                <c:pt idx="0">
                  <c:v>Materials Costs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E3-4F53-BD1A-9794A66A4BEF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E3-4F53-BD1A-9794A66A4BEF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E3-4F53-BD1A-9794A66A4BEF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AE3-4F53-BD1A-9794A66A4B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'Budget Dashboard'!$C$47:$F$47</c:f>
              <c:strCache>
                <c:ptCount val="4"/>
                <c:pt idx="1">
                  <c:v>Planned Costs</c:v>
                </c:pt>
                <c:pt idx="2">
                  <c:v>Actual Costs</c:v>
                </c:pt>
                <c:pt idx="3">
                  <c:v>Balance</c:v>
                </c:pt>
              </c:strCache>
            </c:strRef>
          </c:cat>
          <c:val>
            <c:numRef>
              <c:f>'Budget Dashboard'!$C$48:$F$48</c:f>
              <c:numCache>
                <c:formatCode>_("$"* #,##0.00_);_("$"* \(#,##0.00\);_("$"* "-"??_);_(@_)</c:formatCode>
                <c:ptCount val="4"/>
                <c:pt idx="1">
                  <c:v>6000</c:v>
                </c:pt>
                <c:pt idx="2">
                  <c:v>3176</c:v>
                </c:pt>
                <c:pt idx="3">
                  <c:v>2824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E3-4F53-BD1A-9794A66A4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7F8D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'Budget Dashboard'!$B$49</c:f>
              <c:strCache>
                <c:ptCount val="1"/>
                <c:pt idx="0">
                  <c:v>Labor Costs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12-405E-ABF8-61F5F61D9CA7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12-405E-ABF8-61F5F61D9CA7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E12-405E-ABF8-61F5F61D9CA7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E12-405E-ABF8-61F5F61D9C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'Budget Dashboard'!$C$49:$F$49</c:f>
              <c:numCache>
                <c:formatCode>_("$"* #,##0.00_);_("$"* \(#,##0.00\);_("$"* "-"??_);_(@_)</c:formatCode>
                <c:ptCount val="4"/>
                <c:pt idx="1">
                  <c:v>75000</c:v>
                </c:pt>
                <c:pt idx="2">
                  <c:v>5285</c:v>
                </c:pt>
                <c:pt idx="3">
                  <c:v>69715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E12-405E-ABF8-61F5F61D9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7F8D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'Budget Dashboard'!$B$50</c:f>
              <c:strCache>
                <c:ptCount val="1"/>
                <c:pt idx="0">
                  <c:v>Fixed Costs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29-420E-B5F6-F2817E19DD0E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29-420E-B5F6-F2817E19DD0E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29-420E-B5F6-F2817E19DD0E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B29-420E-B5F6-F2817E19DD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'Budget Dashboard'!$C$50:$F$50</c:f>
              <c:numCache>
                <c:formatCode>_("$"* #,##0.00_);_("$"* \(#,##0.00\);_("$"* "-"??_);_(@_)</c:formatCode>
                <c:ptCount val="4"/>
                <c:pt idx="1">
                  <c:v>62000</c:v>
                </c:pt>
                <c:pt idx="2">
                  <c:v>7455</c:v>
                </c:pt>
                <c:pt idx="3">
                  <c:v>54545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B29-420E-B5F6-F2817E19D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7F8D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'Budget Dashboard'!$B$51</c:f>
              <c:strCache>
                <c:ptCount val="1"/>
                <c:pt idx="0">
                  <c:v>Overhead Costs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81-45AA-B7C7-6B808F249A7D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81-45AA-B7C7-6B808F249A7D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81-45AA-B7C7-6B808F249A7D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681-45AA-B7C7-6B808F249A7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'Budget Dashboard'!$C$51:$F$51</c:f>
              <c:numCache>
                <c:formatCode>_("$"* #,##0.00_);_("$"* \(#,##0.00\);_("$"* "-"??_);_(@_)</c:formatCode>
                <c:ptCount val="4"/>
                <c:pt idx="1">
                  <c:v>5000</c:v>
                </c:pt>
                <c:pt idx="2">
                  <c:v>6600</c:v>
                </c:pt>
                <c:pt idx="3">
                  <c:v>-1600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81-45AA-B7C7-6B808F249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7F8D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9523</xdr:colOff>
      <xdr:row>1</xdr:row>
      <xdr:rowOff>19050</xdr:rowOff>
    </xdr:from>
    <xdr:to>
      <xdr:col>5</xdr:col>
      <xdr:colOff>1523999</xdr:colOff>
      <xdr:row>1</xdr:row>
      <xdr:rowOff>3409950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03506C-A313-49F8-B40A-F9D8248D92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</xdr:row>
      <xdr:rowOff>3503157</xdr:rowOff>
    </xdr:from>
    <xdr:to>
      <xdr:col>2</xdr:col>
      <xdr:colOff>435428</xdr:colOff>
      <xdr:row>2</xdr:row>
      <xdr:rowOff>557892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8BF00B-A6ED-4139-A837-AC40939513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612321</xdr:colOff>
      <xdr:row>1</xdr:row>
      <xdr:rowOff>3483429</xdr:rowOff>
    </xdr:from>
    <xdr:to>
      <xdr:col>5</xdr:col>
      <xdr:colOff>1510393</xdr:colOff>
      <xdr:row>2</xdr:row>
      <xdr:rowOff>557893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2F1796-B62C-4CB3-B662-5A0F0887E4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265339</xdr:colOff>
      <xdr:row>2</xdr:row>
      <xdr:rowOff>764725</xdr:rowOff>
    </xdr:from>
    <xdr:to>
      <xdr:col>2</xdr:col>
      <xdr:colOff>449036</xdr:colOff>
      <xdr:row>2</xdr:row>
      <xdr:rowOff>2558143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975EE1F-5768-4539-B500-E4CAEA608E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619124</xdr:colOff>
      <xdr:row>2</xdr:row>
      <xdr:rowOff>764721</xdr:rowOff>
    </xdr:from>
    <xdr:to>
      <xdr:col>6</xdr:col>
      <xdr:colOff>0</xdr:colOff>
      <xdr:row>2</xdr:row>
      <xdr:rowOff>2571750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99F7CBB-AEB2-46C0-B321-28B2641059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ly%20company%20budg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Budget Summary"/>
      <sheetName val="Income"/>
      <sheetName val="Personnel Expenses"/>
      <sheetName val="Operating Expenses"/>
    </sheetNames>
    <sheetDataSet>
      <sheetData sheetId="0">
        <row r="1">
          <cell r="B1" t="str">
            <v>COMPANY NAME</v>
          </cell>
        </row>
        <row r="2">
          <cell r="B2" t="str">
            <v>MONTHLY BUDGET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951E5-C294-4581-945C-6981A9A2988E}">
  <dimension ref="B1:F52"/>
  <sheetViews>
    <sheetView showGridLines="0" tabSelected="1" zoomScale="50" zoomScaleNormal="50" workbookViewId="0">
      <selection activeCell="M3" sqref="M3"/>
    </sheetView>
  </sheetViews>
  <sheetFormatPr defaultRowHeight="15" x14ac:dyDescent="0.25"/>
  <cols>
    <col min="1" max="1" width="4.140625" customWidth="1"/>
    <col min="2" max="2" width="56.7109375" customWidth="1"/>
    <col min="3" max="3" width="20.28515625" customWidth="1"/>
    <col min="4" max="4" width="23.85546875" customWidth="1"/>
    <col min="5" max="5" width="22.7109375" customWidth="1"/>
    <col min="6" max="6" width="29.85546875" customWidth="1"/>
  </cols>
  <sheetData>
    <row r="1" spans="2:6" ht="28.5" x14ac:dyDescent="0.25">
      <c r="B1" s="22" t="s">
        <v>70</v>
      </c>
    </row>
    <row r="2" spans="2:6" ht="375" customHeight="1" x14ac:dyDescent="0.25"/>
    <row r="3" spans="2:6" ht="225" customHeight="1" x14ac:dyDescent="0.25"/>
    <row r="4" spans="2:6" ht="17.25" x14ac:dyDescent="0.25">
      <c r="B4" s="21" t="s">
        <v>69</v>
      </c>
      <c r="C4" s="24" t="s">
        <v>68</v>
      </c>
      <c r="D4" s="24"/>
      <c r="E4" s="24"/>
      <c r="F4" s="24"/>
    </row>
    <row r="5" spans="2:6" ht="17.25" x14ac:dyDescent="0.25">
      <c r="B5" s="20" t="s">
        <v>67</v>
      </c>
      <c r="C5" s="24" t="s">
        <v>66</v>
      </c>
      <c r="D5" s="24"/>
      <c r="E5" s="24"/>
      <c r="F5" s="24"/>
    </row>
    <row r="6" spans="2:6" ht="17.25" x14ac:dyDescent="0.25">
      <c r="B6" s="20" t="s">
        <v>65</v>
      </c>
      <c r="C6" s="25" t="s">
        <v>64</v>
      </c>
      <c r="D6" s="25"/>
      <c r="E6" s="25"/>
      <c r="F6" s="25"/>
    </row>
    <row r="7" spans="2:6" ht="17.25" x14ac:dyDescent="0.25">
      <c r="B7" s="20" t="s">
        <v>63</v>
      </c>
      <c r="C7" s="24" t="s">
        <v>46</v>
      </c>
      <c r="D7" s="24"/>
      <c r="E7" s="24"/>
      <c r="F7" s="24"/>
    </row>
    <row r="9" spans="2:6" ht="28.5" x14ac:dyDescent="0.4">
      <c r="B9" s="19" t="s">
        <v>62</v>
      </c>
      <c r="C9" s="19"/>
    </row>
    <row r="10" spans="2:6" ht="16.5" x14ac:dyDescent="0.25">
      <c r="B10" s="17" t="s">
        <v>35</v>
      </c>
      <c r="C10" s="7" t="s">
        <v>61</v>
      </c>
      <c r="D10" s="7" t="s">
        <v>34</v>
      </c>
      <c r="E10" s="7" t="s">
        <v>60</v>
      </c>
      <c r="F10" s="7" t="s">
        <v>31</v>
      </c>
    </row>
    <row r="11" spans="2:6" ht="16.5" x14ac:dyDescent="0.25">
      <c r="B11" s="16" t="s">
        <v>59</v>
      </c>
      <c r="C11" s="15" t="s">
        <v>54</v>
      </c>
      <c r="D11" s="18">
        <v>55</v>
      </c>
      <c r="E11" s="6">
        <v>11</v>
      </c>
      <c r="F11" s="13">
        <f>D11*E11</f>
        <v>605</v>
      </c>
    </row>
    <row r="12" spans="2:6" ht="16.5" x14ac:dyDescent="0.25">
      <c r="B12" s="16" t="s">
        <v>58</v>
      </c>
      <c r="C12" s="15" t="s">
        <v>52</v>
      </c>
      <c r="D12" s="18">
        <v>80</v>
      </c>
      <c r="E12" s="6">
        <v>6</v>
      </c>
      <c r="F12" s="13">
        <f>D12*E12</f>
        <v>480</v>
      </c>
    </row>
    <row r="13" spans="2:6" ht="16.5" x14ac:dyDescent="0.25">
      <c r="B13" s="16" t="s">
        <v>57</v>
      </c>
      <c r="C13" s="15" t="s">
        <v>56</v>
      </c>
      <c r="D13" s="18">
        <v>50</v>
      </c>
      <c r="E13" s="6">
        <v>12</v>
      </c>
      <c r="F13" s="13">
        <f>D13*E13</f>
        <v>600</v>
      </c>
    </row>
    <row r="14" spans="2:6" ht="16.5" x14ac:dyDescent="0.25">
      <c r="B14" s="16" t="s">
        <v>55</v>
      </c>
      <c r="C14" s="15" t="s">
        <v>54</v>
      </c>
      <c r="D14" s="18">
        <v>165</v>
      </c>
      <c r="E14" s="6">
        <v>5</v>
      </c>
      <c r="F14" s="13">
        <f>D14*E14</f>
        <v>825</v>
      </c>
    </row>
    <row r="15" spans="2:6" ht="16.5" x14ac:dyDescent="0.25">
      <c r="B15" s="16" t="s">
        <v>53</v>
      </c>
      <c r="C15" s="15" t="s">
        <v>52</v>
      </c>
      <c r="D15" s="18">
        <v>74</v>
      </c>
      <c r="E15" s="6">
        <v>9</v>
      </c>
      <c r="F15" s="13">
        <f>D15*E15</f>
        <v>666</v>
      </c>
    </row>
    <row r="16" spans="2:6" x14ac:dyDescent="0.25">
      <c r="B16" s="12"/>
      <c r="C16" s="12"/>
      <c r="D16" s="26" t="s">
        <v>51</v>
      </c>
      <c r="E16" s="26"/>
      <c r="F16" s="11">
        <f>SUM(F11:F15)</f>
        <v>3176</v>
      </c>
    </row>
    <row r="18" spans="2:6" ht="28.5" x14ac:dyDescent="0.4">
      <c r="B18" s="10" t="s">
        <v>50</v>
      </c>
    </row>
    <row r="19" spans="2:6" ht="16.5" x14ac:dyDescent="0.25">
      <c r="B19" s="17" t="s">
        <v>49</v>
      </c>
      <c r="C19" s="7" t="s">
        <v>48</v>
      </c>
      <c r="D19" s="7" t="s">
        <v>47</v>
      </c>
      <c r="E19" s="7" t="s">
        <v>16</v>
      </c>
      <c r="F19" s="7" t="s">
        <v>31</v>
      </c>
    </row>
    <row r="20" spans="2:6" ht="16.5" x14ac:dyDescent="0.25">
      <c r="B20" s="16" t="s">
        <v>46</v>
      </c>
      <c r="C20" s="15" t="s">
        <v>45</v>
      </c>
      <c r="D20" s="18">
        <v>20</v>
      </c>
      <c r="E20" s="6">
        <v>60</v>
      </c>
      <c r="F20" s="13">
        <f>D20*E20</f>
        <v>1200</v>
      </c>
    </row>
    <row r="21" spans="2:6" ht="16.5" x14ac:dyDescent="0.25">
      <c r="B21" s="16" t="s">
        <v>44</v>
      </c>
      <c r="C21" s="15" t="s">
        <v>43</v>
      </c>
      <c r="D21" s="18">
        <v>8</v>
      </c>
      <c r="E21" s="6">
        <v>45</v>
      </c>
      <c r="F21" s="13">
        <f>D21*E21</f>
        <v>360</v>
      </c>
    </row>
    <row r="22" spans="2:6" ht="16.5" x14ac:dyDescent="0.25">
      <c r="B22" s="16" t="s">
        <v>42</v>
      </c>
      <c r="C22" s="15" t="s">
        <v>41</v>
      </c>
      <c r="D22" s="18">
        <v>20</v>
      </c>
      <c r="E22" s="6">
        <v>75</v>
      </c>
      <c r="F22" s="13">
        <f>D22*E22</f>
        <v>1500</v>
      </c>
    </row>
    <row r="23" spans="2:6" ht="16.5" x14ac:dyDescent="0.25">
      <c r="B23" s="16" t="s">
        <v>40</v>
      </c>
      <c r="C23" s="15" t="s">
        <v>39</v>
      </c>
      <c r="D23" s="18">
        <v>30</v>
      </c>
      <c r="E23" s="6">
        <v>45</v>
      </c>
      <c r="F23" s="13">
        <f>D23*E23</f>
        <v>1350</v>
      </c>
    </row>
    <row r="24" spans="2:6" ht="16.5" x14ac:dyDescent="0.25">
      <c r="B24" s="16" t="s">
        <v>38</v>
      </c>
      <c r="C24" s="15" t="s">
        <v>12</v>
      </c>
      <c r="D24" s="18">
        <v>25</v>
      </c>
      <c r="E24" s="6">
        <v>35</v>
      </c>
      <c r="F24" s="13">
        <f>D24*E24</f>
        <v>875</v>
      </c>
    </row>
    <row r="25" spans="2:6" x14ac:dyDescent="0.25">
      <c r="B25" s="12"/>
      <c r="C25" s="12"/>
      <c r="D25" s="26" t="s">
        <v>37</v>
      </c>
      <c r="E25" s="26"/>
      <c r="F25" s="11">
        <f>SUM(F20:F24)</f>
        <v>5285</v>
      </c>
    </row>
    <row r="27" spans="2:6" ht="28.5" x14ac:dyDescent="0.4">
      <c r="B27" s="10" t="s">
        <v>36</v>
      </c>
    </row>
    <row r="28" spans="2:6" ht="16.5" x14ac:dyDescent="0.25">
      <c r="B28" s="17" t="s">
        <v>35</v>
      </c>
      <c r="C28" s="7" t="s">
        <v>34</v>
      </c>
      <c r="D28" s="7" t="s">
        <v>33</v>
      </c>
      <c r="E28" s="7" t="s">
        <v>32</v>
      </c>
      <c r="F28" s="7" t="s">
        <v>31</v>
      </c>
    </row>
    <row r="29" spans="2:6" ht="16.5" x14ac:dyDescent="0.25">
      <c r="B29" s="16" t="s">
        <v>30</v>
      </c>
      <c r="C29" s="15" t="s">
        <v>29</v>
      </c>
      <c r="D29" s="6">
        <v>1200</v>
      </c>
      <c r="E29" s="6">
        <v>0</v>
      </c>
      <c r="F29" s="13">
        <f>D29+E29</f>
        <v>1200</v>
      </c>
    </row>
    <row r="30" spans="2:6" ht="16.5" x14ac:dyDescent="0.25">
      <c r="B30" s="16" t="s">
        <v>28</v>
      </c>
      <c r="C30" s="15" t="s">
        <v>27</v>
      </c>
      <c r="D30" s="6">
        <v>800</v>
      </c>
      <c r="E30" s="6">
        <v>150</v>
      </c>
      <c r="F30" s="13">
        <f>D30+E30</f>
        <v>950</v>
      </c>
    </row>
    <row r="31" spans="2:6" ht="16.5" x14ac:dyDescent="0.25">
      <c r="B31" s="16" t="s">
        <v>26</v>
      </c>
      <c r="C31" s="15" t="s">
        <v>25</v>
      </c>
      <c r="D31" s="6">
        <v>145</v>
      </c>
      <c r="E31" s="6">
        <v>0</v>
      </c>
      <c r="F31" s="13">
        <f>D31+E31</f>
        <v>145</v>
      </c>
    </row>
    <row r="32" spans="2:6" ht="16.5" x14ac:dyDescent="0.25">
      <c r="B32" s="16" t="s">
        <v>24</v>
      </c>
      <c r="C32" s="15"/>
      <c r="D32" s="6">
        <v>160</v>
      </c>
      <c r="E32" s="6">
        <v>0</v>
      </c>
      <c r="F32" s="13">
        <f>D32+E32</f>
        <v>160</v>
      </c>
    </row>
    <row r="33" spans="2:6" ht="16.5" x14ac:dyDescent="0.25">
      <c r="B33" s="16" t="s">
        <v>23</v>
      </c>
      <c r="C33" s="15" t="s">
        <v>22</v>
      </c>
      <c r="D33" s="6">
        <v>5000</v>
      </c>
      <c r="E33" s="6">
        <v>0</v>
      </c>
      <c r="F33" s="13">
        <f>D33+E33</f>
        <v>5000</v>
      </c>
    </row>
    <row r="34" spans="2:6" x14ac:dyDescent="0.25">
      <c r="B34" s="12"/>
      <c r="C34" s="12"/>
      <c r="D34" s="26" t="s">
        <v>21</v>
      </c>
      <c r="E34" s="26"/>
      <c r="F34" s="11">
        <f>SUM(F29:F33)</f>
        <v>7455</v>
      </c>
    </row>
    <row r="36" spans="2:6" ht="28.5" x14ac:dyDescent="0.4">
      <c r="B36" s="10" t="s">
        <v>20</v>
      </c>
    </row>
    <row r="37" spans="2:6" ht="16.5" x14ac:dyDescent="0.25">
      <c r="B37" s="17" t="s">
        <v>19</v>
      </c>
      <c r="C37" s="7" t="s">
        <v>18</v>
      </c>
      <c r="D37" s="7" t="s">
        <v>17</v>
      </c>
      <c r="E37" s="7" t="s">
        <v>16</v>
      </c>
      <c r="F37" s="7" t="s">
        <v>15</v>
      </c>
    </row>
    <row r="38" spans="2:6" ht="16.5" x14ac:dyDescent="0.25">
      <c r="B38" s="16" t="s">
        <v>14</v>
      </c>
      <c r="C38" s="15"/>
      <c r="D38" s="6">
        <v>30000</v>
      </c>
      <c r="E38" s="14">
        <v>0.06</v>
      </c>
      <c r="F38" s="13">
        <f>D38*E38</f>
        <v>1800</v>
      </c>
    </row>
    <row r="39" spans="2:6" ht="16.5" x14ac:dyDescent="0.25">
      <c r="B39" s="16" t="s">
        <v>13</v>
      </c>
      <c r="C39" s="15"/>
      <c r="D39" s="6">
        <v>25000</v>
      </c>
      <c r="E39" s="14">
        <v>0.06</v>
      </c>
      <c r="F39" s="13">
        <f>D39*E39</f>
        <v>1500</v>
      </c>
    </row>
    <row r="40" spans="2:6" ht="16.5" x14ac:dyDescent="0.25">
      <c r="B40" s="16" t="s">
        <v>12</v>
      </c>
      <c r="C40" s="15"/>
      <c r="D40" s="6">
        <v>25000</v>
      </c>
      <c r="E40" s="14">
        <v>0.06</v>
      </c>
      <c r="F40" s="13">
        <f>D40*E40</f>
        <v>1500</v>
      </c>
    </row>
    <row r="41" spans="2:6" ht="16.5" x14ac:dyDescent="0.25">
      <c r="B41" s="16" t="s">
        <v>11</v>
      </c>
      <c r="C41" s="15"/>
      <c r="D41" s="6">
        <v>30000</v>
      </c>
      <c r="E41" s="14">
        <v>0.06</v>
      </c>
      <c r="F41" s="13">
        <f>D41*E41</f>
        <v>1800</v>
      </c>
    </row>
    <row r="42" spans="2:6" ht="16.5" x14ac:dyDescent="0.25">
      <c r="B42" s="16"/>
      <c r="C42" s="15"/>
      <c r="D42" s="6">
        <v>0</v>
      </c>
      <c r="E42" s="14">
        <v>0</v>
      </c>
      <c r="F42" s="13">
        <f>D42*E42</f>
        <v>0</v>
      </c>
    </row>
    <row r="43" spans="2:6" x14ac:dyDescent="0.25">
      <c r="B43" s="12"/>
      <c r="C43" s="12"/>
      <c r="D43" s="26" t="s">
        <v>10</v>
      </c>
      <c r="E43" s="26"/>
      <c r="F43" s="11">
        <f>SUM(F38:F42)</f>
        <v>6600</v>
      </c>
    </row>
    <row r="46" spans="2:6" ht="28.5" x14ac:dyDescent="0.4">
      <c r="B46" s="10" t="s">
        <v>9</v>
      </c>
    </row>
    <row r="47" spans="2:6" ht="16.5" x14ac:dyDescent="0.25">
      <c r="B47" s="9" t="s">
        <v>8</v>
      </c>
      <c r="C47" s="8"/>
      <c r="D47" s="7" t="s">
        <v>7</v>
      </c>
      <c r="E47" s="7" t="s">
        <v>6</v>
      </c>
      <c r="F47" s="7" t="s">
        <v>5</v>
      </c>
    </row>
    <row r="48" spans="2:6" ht="16.5" x14ac:dyDescent="0.25">
      <c r="B48" s="23" t="s">
        <v>4</v>
      </c>
      <c r="C48" s="23"/>
      <c r="D48" s="6">
        <v>6000</v>
      </c>
      <c r="E48" s="5">
        <f>F16</f>
        <v>3176</v>
      </c>
      <c r="F48" s="4">
        <f>D48-E48</f>
        <v>2824</v>
      </c>
    </row>
    <row r="49" spans="2:6" ht="16.5" x14ac:dyDescent="0.25">
      <c r="B49" s="23" t="s">
        <v>3</v>
      </c>
      <c r="C49" s="23"/>
      <c r="D49" s="6">
        <v>75000</v>
      </c>
      <c r="E49" s="5">
        <f>F25</f>
        <v>5285</v>
      </c>
      <c r="F49" s="4">
        <f>D49-E49</f>
        <v>69715</v>
      </c>
    </row>
    <row r="50" spans="2:6" ht="16.5" x14ac:dyDescent="0.25">
      <c r="B50" s="23" t="s">
        <v>2</v>
      </c>
      <c r="C50" s="23"/>
      <c r="D50" s="6">
        <v>62000</v>
      </c>
      <c r="E50" s="5">
        <f>F34</f>
        <v>7455</v>
      </c>
      <c r="F50" s="4">
        <f>D50-E50</f>
        <v>54545</v>
      </c>
    </row>
    <row r="51" spans="2:6" ht="16.5" x14ac:dyDescent="0.25">
      <c r="B51" s="23" t="s">
        <v>1</v>
      </c>
      <c r="C51" s="23"/>
      <c r="D51" s="6">
        <v>5000</v>
      </c>
      <c r="E51" s="5">
        <f>F43</f>
        <v>6600</v>
      </c>
      <c r="F51" s="4">
        <f>D51-E51</f>
        <v>-1600</v>
      </c>
    </row>
    <row r="52" spans="2:6" x14ac:dyDescent="0.25">
      <c r="B52" s="3"/>
      <c r="C52" s="2" t="s">
        <v>0</v>
      </c>
      <c r="D52" s="1">
        <f>SUM(D48:D51)</f>
        <v>148000</v>
      </c>
      <c r="E52" s="1">
        <f>SUM(E48:E51)</f>
        <v>22516</v>
      </c>
      <c r="F52" s="1">
        <f>SUM(F48:F51)</f>
        <v>125484</v>
      </c>
    </row>
  </sheetData>
  <mergeCells count="12">
    <mergeCell ref="B51:C51"/>
    <mergeCell ref="D25:E25"/>
    <mergeCell ref="D34:E34"/>
    <mergeCell ref="D43:E43"/>
    <mergeCell ref="B48:C48"/>
    <mergeCell ref="B49:C49"/>
    <mergeCell ref="B50:C50"/>
    <mergeCell ref="C4:F4"/>
    <mergeCell ref="C5:F5"/>
    <mergeCell ref="C6:F6"/>
    <mergeCell ref="C7:F7"/>
    <mergeCell ref="D16:E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2026-03-11T16:24:30Z</dcterms:created>
  <dcterms:modified xsi:type="dcterms:W3CDTF">2026-03-20T14:39:50Z</dcterms:modified>
</cp:coreProperties>
</file>